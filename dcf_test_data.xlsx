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Projection" sheetId="3" state="visible" r:id="rId3"/>
    <sheet name="DCF" sheetId="4" state="visible" r:id="rId4"/>
    <sheet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0.0%"/>
    <numFmt numFmtId="166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3" borderId="0" pivotButton="0" quotePrefix="0" xfId="0"/>
    <xf numFmtId="165" fontId="0" fillId="3" borderId="0" pivotButton="0" quotePrefix="0" xfId="0"/>
    <xf numFmtId="1" fontId="0" fillId="3" borderId="0" pivotButton="0" quotePrefix="0" xfId="0"/>
    <xf numFmtId="1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5" fontId="2" fillId="2" borderId="0" applyAlignment="1" pivotButton="0" quotePrefix="0" xfId="0">
      <alignment horizontal="center" vertical="center"/>
    </xf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Synthetic DCF test workbook</t>
        </is>
      </c>
    </row>
    <row r="3">
      <c r="A3" s="2" t="inlineStr">
        <is>
          <t>This file is intentionally low-quality and uses made-up assumptions for software/testing purposes.</t>
        </is>
      </c>
    </row>
    <row r="5">
      <c r="A5" s="2" t="inlineStr">
        <is>
          <t>Formulas are included; values recalculate in Excel/Google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" customWidth="1" min="3" max="3"/>
    <col width="14" customWidth="1" min="4" max="4"/>
    <col width="18" customWidth="1" min="5" max="5"/>
  </cols>
  <sheetData>
    <row r="1">
      <c r="A1" s="3" t="inlineStr">
        <is>
          <t>Assumption</t>
        </is>
      </c>
      <c r="B1" s="4" t="inlineStr">
        <is>
          <t>Value</t>
        </is>
      </c>
      <c r="D1" s="4" t="inlineStr">
        <is>
          <t>Year</t>
        </is>
      </c>
      <c r="E1" s="4" t="inlineStr">
        <is>
          <t>Revenue Growth</t>
        </is>
      </c>
    </row>
    <row r="2">
      <c r="A2" s="5" t="inlineStr">
        <is>
          <t>Base Revenue ($mm)</t>
        </is>
      </c>
      <c r="B2" s="6" t="n">
        <v>1000</v>
      </c>
      <c r="D2" t="inlineStr">
        <is>
          <t>2026E</t>
        </is>
      </c>
      <c r="E2" s="7" t="n">
        <v>0.12</v>
      </c>
    </row>
    <row r="3">
      <c r="A3" s="5" t="inlineStr">
        <is>
          <t>EBIT Margin</t>
        </is>
      </c>
      <c r="B3" s="7" t="n">
        <v>0.22</v>
      </c>
      <c r="D3" t="inlineStr">
        <is>
          <t>2027E</t>
        </is>
      </c>
      <c r="E3" s="7" t="n">
        <v>0.1</v>
      </c>
    </row>
    <row r="4">
      <c r="A4" s="5" t="inlineStr">
        <is>
          <t>Tax Rate</t>
        </is>
      </c>
      <c r="B4" s="7" t="n">
        <v>0.25</v>
      </c>
      <c r="D4" t="inlineStr">
        <is>
          <t>2028E</t>
        </is>
      </c>
      <c r="E4" s="7" t="n">
        <v>0.08</v>
      </c>
    </row>
    <row r="5">
      <c r="A5" s="5" t="inlineStr">
        <is>
          <t>D&amp;A % Revenue</t>
        </is>
      </c>
      <c r="B5" s="7" t="n">
        <v>0.03</v>
      </c>
      <c r="D5" t="inlineStr">
        <is>
          <t>2029E</t>
        </is>
      </c>
      <c r="E5" s="7" t="n">
        <v>0.06</v>
      </c>
    </row>
    <row r="6">
      <c r="A6" s="5" t="inlineStr">
        <is>
          <t>Capex % Revenue</t>
        </is>
      </c>
      <c r="B6" s="7" t="n">
        <v>0.04</v>
      </c>
      <c r="D6" t="inlineStr">
        <is>
          <t>2030E</t>
        </is>
      </c>
      <c r="E6" s="7" t="n">
        <v>0.04</v>
      </c>
    </row>
    <row r="7">
      <c r="A7" s="5" t="inlineStr">
        <is>
          <t>NWC % Revenue</t>
        </is>
      </c>
      <c r="B7" s="7" t="n">
        <v>0.1</v>
      </c>
    </row>
    <row r="8">
      <c r="A8" s="5" t="inlineStr">
        <is>
          <t>WACC</t>
        </is>
      </c>
      <c r="B8" s="7" t="n">
        <v>0.1</v>
      </c>
    </row>
    <row r="9">
      <c r="A9" s="5" t="inlineStr">
        <is>
          <t>Terminal Growth</t>
        </is>
      </c>
      <c r="B9" s="7" t="n">
        <v>0.025</v>
      </c>
    </row>
    <row r="10">
      <c r="A10" s="5" t="inlineStr">
        <is>
          <t>Net Debt ($mm)</t>
        </is>
      </c>
      <c r="B10" s="6" t="n">
        <v>350</v>
      </c>
    </row>
    <row r="11">
      <c r="A11" s="5" t="inlineStr">
        <is>
          <t>Shares Outstanding (mm)</t>
        </is>
      </c>
      <c r="B11" s="8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Projection ($mm)</t>
        </is>
      </c>
    </row>
    <row r="2">
      <c r="A2" s="5" t="n"/>
    </row>
    <row r="3">
      <c r="A3" s="5" t="n"/>
      <c r="B3" s="4">
        <f>Assumptions!D2</f>
        <v/>
      </c>
      <c r="C3" s="4">
        <f>Assumptions!D3</f>
        <v/>
      </c>
      <c r="D3" s="4">
        <f>Assumptions!D4</f>
        <v/>
      </c>
      <c r="E3" s="4">
        <f>Assumptions!D5</f>
        <v/>
      </c>
      <c r="F3" s="4">
        <f>Assumptions!D6</f>
        <v/>
      </c>
    </row>
    <row r="4">
      <c r="A4" s="5" t="n"/>
      <c r="B4" s="9" t="n">
        <v>1</v>
      </c>
      <c r="C4" s="9" t="n">
        <v>2</v>
      </c>
      <c r="D4" s="9" t="n">
        <v>3</v>
      </c>
      <c r="E4" s="9" t="n">
        <v>4</v>
      </c>
      <c r="F4" s="9" t="n">
        <v>5</v>
      </c>
    </row>
    <row r="5">
      <c r="A5" s="10" t="inlineStr">
        <is>
          <t>Revenue</t>
        </is>
      </c>
      <c r="B5" s="11">
        <f>Assumptions!$B$2*(1+B6)</f>
        <v/>
      </c>
      <c r="C5" s="11">
        <f>B5*(1+C6)</f>
        <v/>
      </c>
      <c r="D5" s="11">
        <f>C5*(1+D6)</f>
        <v/>
      </c>
      <c r="E5" s="11">
        <f>D5*(1+E6)</f>
        <v/>
      </c>
      <c r="F5" s="11">
        <f>E5*(1+F6)</f>
        <v/>
      </c>
    </row>
    <row r="6">
      <c r="A6" s="10" t="inlineStr">
        <is>
          <t>Growth</t>
        </is>
      </c>
      <c r="B6" s="12">
        <f>Assumptions!E2</f>
        <v/>
      </c>
      <c r="C6" s="12">
        <f>Assumptions!E3</f>
        <v/>
      </c>
      <c r="D6" s="12">
        <f>Assumptions!E4</f>
        <v/>
      </c>
      <c r="E6" s="12">
        <f>Assumptions!E5</f>
        <v/>
      </c>
      <c r="F6" s="12">
        <f>Assumptions!E6</f>
        <v/>
      </c>
    </row>
    <row r="7">
      <c r="A7" s="10" t="inlineStr">
        <is>
          <t>EBIT</t>
        </is>
      </c>
      <c r="B7" s="11">
        <f>B5*Assumptions!$B$3</f>
        <v/>
      </c>
      <c r="C7" s="11">
        <f>C5*Assumptions!$B$3</f>
        <v/>
      </c>
      <c r="D7" s="11">
        <f>D5*Assumptions!$B$3</f>
        <v/>
      </c>
      <c r="E7" s="11">
        <f>E5*Assumptions!$B$3</f>
        <v/>
      </c>
      <c r="F7" s="11">
        <f>F5*Assumptions!$B$3</f>
        <v/>
      </c>
    </row>
    <row r="8">
      <c r="A8" s="10" t="inlineStr">
        <is>
          <t>Taxes</t>
        </is>
      </c>
      <c r="B8" s="11">
        <f>-B7*Assumptions!$B$4</f>
        <v/>
      </c>
      <c r="C8" s="11">
        <f>-C7*Assumptions!$B$4</f>
        <v/>
      </c>
      <c r="D8" s="11">
        <f>-D7*Assumptions!$B$4</f>
        <v/>
      </c>
      <c r="E8" s="11">
        <f>-E7*Assumptions!$B$4</f>
        <v/>
      </c>
      <c r="F8" s="11">
        <f>-F7*Assumptions!$B$4</f>
        <v/>
      </c>
    </row>
    <row r="9">
      <c r="A9" s="10" t="inlineStr">
        <is>
          <t>NOPAT</t>
        </is>
      </c>
      <c r="B9" s="11">
        <f>B7+B8</f>
        <v/>
      </c>
      <c r="C9" s="11">
        <f>C7+C8</f>
        <v/>
      </c>
      <c r="D9" s="11">
        <f>D7+D8</f>
        <v/>
      </c>
      <c r="E9" s="11">
        <f>E7+E8</f>
        <v/>
      </c>
      <c r="F9" s="11">
        <f>F7+F8</f>
        <v/>
      </c>
    </row>
    <row r="10">
      <c r="A10" s="10" t="inlineStr">
        <is>
          <t>D&amp;A</t>
        </is>
      </c>
      <c r="B10" s="11">
        <f>B5*Assumptions!$B$5</f>
        <v/>
      </c>
      <c r="C10" s="11">
        <f>C5*Assumptions!$B$5</f>
        <v/>
      </c>
      <c r="D10" s="11">
        <f>D5*Assumptions!$B$5</f>
        <v/>
      </c>
      <c r="E10" s="11">
        <f>E5*Assumptions!$B$5</f>
        <v/>
      </c>
      <c r="F10" s="11">
        <f>F5*Assumptions!$B$5</f>
        <v/>
      </c>
    </row>
    <row r="11">
      <c r="A11" s="10" t="inlineStr">
        <is>
          <t>Capex</t>
        </is>
      </c>
      <c r="B11" s="11">
        <f>-B5*Assumptions!$B$6</f>
        <v/>
      </c>
      <c r="C11" s="11">
        <f>-C5*Assumptions!$B$6</f>
        <v/>
      </c>
      <c r="D11" s="11">
        <f>-D5*Assumptions!$B$6</f>
        <v/>
      </c>
      <c r="E11" s="11">
        <f>-E5*Assumptions!$B$6</f>
        <v/>
      </c>
      <c r="F11" s="11">
        <f>-F5*Assumptions!$B$6</f>
        <v/>
      </c>
    </row>
    <row r="12">
      <c r="A12" s="10" t="inlineStr">
        <is>
          <t>NWC Balance</t>
        </is>
      </c>
      <c r="B12" s="11">
        <f>B5*Assumptions!$B$7</f>
        <v/>
      </c>
      <c r="C12" s="11">
        <f>C5*Assumptions!$B$7</f>
        <v/>
      </c>
      <c r="D12" s="11">
        <f>D5*Assumptions!$B$7</f>
        <v/>
      </c>
      <c r="E12" s="11">
        <f>E5*Assumptions!$B$7</f>
        <v/>
      </c>
      <c r="F12" s="11">
        <f>F5*Assumptions!$B$7</f>
        <v/>
      </c>
    </row>
    <row r="13">
      <c r="A13" s="10" t="inlineStr">
        <is>
          <t>Change in NWC</t>
        </is>
      </c>
      <c r="B13" s="11">
        <f>-(B12-Assumptions!$B$2*Assumptions!$B$7)</f>
        <v/>
      </c>
      <c r="C13" s="11">
        <f>-(C12-B12)</f>
        <v/>
      </c>
      <c r="D13" s="11">
        <f>-(D12-C12)</f>
        <v/>
      </c>
      <c r="E13" s="11">
        <f>-(E12-D12)</f>
        <v/>
      </c>
      <c r="F13" s="11">
        <f>-(F12-E12)</f>
        <v/>
      </c>
    </row>
    <row r="14">
      <c r="A14" s="10" t="inlineStr">
        <is>
          <t>UFCF</t>
        </is>
      </c>
      <c r="B14" s="11">
        <f>B9+B10+B11+B13</f>
        <v/>
      </c>
      <c r="C14" s="11">
        <f>C9+C10+C11+C13</f>
        <v/>
      </c>
      <c r="D14" s="11">
        <f>D9+D10+D11+D13</f>
        <v/>
      </c>
      <c r="E14" s="11">
        <f>E9+E10+E11+E13</f>
        <v/>
      </c>
      <c r="F14" s="11">
        <f>F9+F10+F11+F13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DCF Valuation</t>
        </is>
      </c>
    </row>
    <row r="2">
      <c r="A2" s="5" t="n"/>
    </row>
    <row r="3">
      <c r="A3" s="5" t="n"/>
      <c r="B3" s="4">
        <f>Projection!B3</f>
        <v/>
      </c>
      <c r="C3" s="4">
        <f>Projection!C3</f>
        <v/>
      </c>
      <c r="D3" s="4">
        <f>Projection!D3</f>
        <v/>
      </c>
      <c r="E3" s="4">
        <f>Projection!E3</f>
        <v/>
      </c>
      <c r="F3" s="4">
        <f>Projection!F3</f>
        <v/>
      </c>
    </row>
    <row r="4">
      <c r="A4" s="5" t="n"/>
    </row>
    <row r="5">
      <c r="A5" s="3" t="inlineStr">
        <is>
          <t>Period</t>
        </is>
      </c>
      <c r="B5" s="9">
        <f>Projection!B4</f>
        <v/>
      </c>
      <c r="C5" s="9">
        <f>Projection!C4</f>
        <v/>
      </c>
      <c r="D5" s="9">
        <f>Projection!D4</f>
        <v/>
      </c>
      <c r="E5" s="9">
        <f>Projection!E4</f>
        <v/>
      </c>
      <c r="F5" s="9">
        <f>Projection!F4</f>
        <v/>
      </c>
    </row>
    <row r="6">
      <c r="A6" s="10" t="inlineStr">
        <is>
          <t>UFCF</t>
        </is>
      </c>
      <c r="B6" s="11">
        <f>Projection!B14</f>
        <v/>
      </c>
      <c r="C6" s="11">
        <f>Projection!C14</f>
        <v/>
      </c>
      <c r="D6" s="11">
        <f>Projection!D14</f>
        <v/>
      </c>
      <c r="E6" s="11">
        <f>Projection!E14</f>
        <v/>
      </c>
      <c r="F6" s="11">
        <f>Projection!F14</f>
        <v/>
      </c>
    </row>
    <row r="7">
      <c r="A7" s="10" t="inlineStr">
        <is>
          <t>Discount Factor</t>
        </is>
      </c>
      <c r="B7" s="13">
        <f>1/(1+Assumptions!$B$8)^B5</f>
        <v/>
      </c>
      <c r="C7" s="13">
        <f>1/(1+Assumptions!$B$8)^C5</f>
        <v/>
      </c>
      <c r="D7" s="13">
        <f>1/(1+Assumptions!$B$8)^D5</f>
        <v/>
      </c>
      <c r="E7" s="13">
        <f>1/(1+Assumptions!$B$8)^E5</f>
        <v/>
      </c>
      <c r="F7" s="13">
        <f>1/(1+Assumptions!$B$8)^F5</f>
        <v/>
      </c>
    </row>
    <row r="8">
      <c r="A8" s="10" t="inlineStr">
        <is>
          <t>PV of UFCF</t>
        </is>
      </c>
      <c r="B8" s="11">
        <f>B6*B7</f>
        <v/>
      </c>
      <c r="C8" s="11">
        <f>C6*C7</f>
        <v/>
      </c>
      <c r="D8" s="11">
        <f>D6*D7</f>
        <v/>
      </c>
      <c r="E8" s="11">
        <f>E6*E7</f>
        <v/>
      </c>
      <c r="F8" s="11">
        <f>F6*F7</f>
        <v/>
      </c>
    </row>
    <row r="9">
      <c r="A9" s="5" t="n"/>
    </row>
    <row r="10">
      <c r="A10" s="10" t="inlineStr">
        <is>
          <t>Terminal FCF</t>
        </is>
      </c>
      <c r="B10" s="11">
        <f>F6*(1+Assumptions!$B$9)</f>
        <v/>
      </c>
    </row>
    <row r="11">
      <c r="A11" s="10" t="inlineStr">
        <is>
          <t>Terminal Value</t>
        </is>
      </c>
      <c r="B11" s="11">
        <f>B10/(Assumptions!$B$8-Assumptions!$B$9)</f>
        <v/>
      </c>
    </row>
    <row r="12">
      <c r="A12" s="10" t="inlineStr">
        <is>
          <t>PV Factor @ Year 5</t>
        </is>
      </c>
      <c r="B12" s="11">
        <f>F7</f>
        <v/>
      </c>
    </row>
    <row r="13">
      <c r="A13" s="10" t="inlineStr">
        <is>
          <t>PV of Terminal Value</t>
        </is>
      </c>
      <c r="B13" s="11">
        <f>B11*B12</f>
        <v/>
      </c>
    </row>
    <row r="14">
      <c r="A14" s="5" t="n"/>
    </row>
    <row r="15">
      <c r="A15" s="10" t="inlineStr">
        <is>
          <t>Enterprise Value</t>
        </is>
      </c>
      <c r="B15" s="11">
        <f>SUM(B8:F8)+B13</f>
        <v/>
      </c>
    </row>
    <row r="16">
      <c r="A16" s="10" t="inlineStr">
        <is>
          <t>Less: Net Debt</t>
        </is>
      </c>
      <c r="B16" s="11">
        <f>-Assumptions!$B$10</f>
        <v/>
      </c>
    </row>
    <row r="17">
      <c r="A17" s="10" t="inlineStr">
        <is>
          <t>Equity Value</t>
        </is>
      </c>
      <c r="B17" s="11">
        <f>B15+B16</f>
        <v/>
      </c>
    </row>
    <row r="18">
      <c r="A18" s="10" t="inlineStr">
        <is>
          <t>Shares Outstanding (mm)</t>
        </is>
      </c>
      <c r="B18" s="14">
        <f>Assumptions!$B$11</f>
        <v/>
      </c>
    </row>
    <row r="19">
      <c r="A19" s="10" t="inlineStr">
        <is>
          <t>Implied Price / Share</t>
        </is>
      </c>
      <c r="B19" s="11">
        <f>B17/B18</f>
        <v/>
      </c>
    </row>
    <row r="20">
      <c r="A20" s="5" t="n"/>
    </row>
    <row r="21">
      <c r="A21" s="10" t="inlineStr">
        <is>
          <t>Check (WACC &gt; g)</t>
        </is>
      </c>
      <c r="B21">
        <f>IF(Assumptions!$B$8&gt;Assumptions!$B$9,"OK","ERROR")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Price / Share Sensitivity</t>
        </is>
      </c>
    </row>
    <row r="2">
      <c r="A2" s="5" t="n"/>
      <c r="B2" s="4" t="inlineStr">
        <is>
          <t>Terminal Growth \\ WACC</t>
        </is>
      </c>
      <c r="C2" s="15" t="n">
        <v>0.08</v>
      </c>
      <c r="D2" s="15" t="n">
        <v>0.09</v>
      </c>
      <c r="E2" s="15" t="n">
        <v>0.1</v>
      </c>
      <c r="F2" s="15" t="n">
        <v>0.11</v>
      </c>
      <c r="G2" s="15" t="n">
        <v>0.12</v>
      </c>
    </row>
    <row r="3">
      <c r="A3" s="5" t="n"/>
      <c r="B3" s="16" t="n">
        <v>0.01</v>
      </c>
      <c r="C3" s="11">
        <f>IF(C$2&lt;=$B3,NA(),((SUMPRODUCT(DCF!$B$6:$F$6,1/(1+C$2)^(DCF!$B$5:$F$5))+((DCF!$F$6*(1+$B3))/(C$2-$B3))*(1/(1+C$2)^DCF!$F$5)-Assumptions!$B$10)/Assumptions!$B$11))</f>
        <v/>
      </c>
      <c r="D3" s="11">
        <f>IF(D$2&lt;=$B3,NA(),((SUMPRODUCT(DCF!$B$6:$F$6,1/(1+D$2)^(DCF!$B$5:$F$5))+((DCF!$F$6*(1+$B3))/(D$2-$B3))*(1/(1+D$2)^DCF!$F$5)-Assumptions!$B$10)/Assumptions!$B$11))</f>
        <v/>
      </c>
      <c r="E3" s="11">
        <f>IF(E$2&lt;=$B3,NA(),((SUMPRODUCT(DCF!$B$6:$F$6,1/(1+E$2)^(DCF!$B$5:$F$5))+((DCF!$F$6*(1+$B3))/(E$2-$B3))*(1/(1+E$2)^DCF!$F$5)-Assumptions!$B$10)/Assumptions!$B$11))</f>
        <v/>
      </c>
      <c r="F3" s="11">
        <f>IF(F$2&lt;=$B3,NA(),((SUMPRODUCT(DCF!$B$6:$F$6,1/(1+F$2)^(DCF!$B$5:$F$5))+((DCF!$F$6*(1+$B3))/(F$2-$B3))*(1/(1+F$2)^DCF!$F$5)-Assumptions!$B$10)/Assumptions!$B$11))</f>
        <v/>
      </c>
      <c r="G3" s="11">
        <f>IF(G$2&lt;=$B3,NA(),((SUMPRODUCT(DCF!$B$6:$F$6,1/(1+G$2)^(DCF!$B$5:$F$5))+((DCF!$F$6*(1+$B3))/(G$2-$B3))*(1/(1+G$2)^DCF!$F$5)-Assumptions!$B$10)/Assumptions!$B$11))</f>
        <v/>
      </c>
    </row>
    <row r="4">
      <c r="A4" s="5" t="n"/>
      <c r="B4" s="16" t="n">
        <v>0.02</v>
      </c>
      <c r="C4" s="11">
        <f>IF(C$2&lt;=$B4,NA(),((SUMPRODUCT(DCF!$B$6:$F$6,1/(1+C$2)^(DCF!$B$5:$F$5))+((DCF!$F$6*(1+$B4))/(C$2-$B4))*(1/(1+C$2)^DCF!$F$5)-Assumptions!$B$10)/Assumptions!$B$11))</f>
        <v/>
      </c>
      <c r="D4" s="11">
        <f>IF(D$2&lt;=$B4,NA(),((SUMPRODUCT(DCF!$B$6:$F$6,1/(1+D$2)^(DCF!$B$5:$F$5))+((DCF!$F$6*(1+$B4))/(D$2-$B4))*(1/(1+D$2)^DCF!$F$5)-Assumptions!$B$10)/Assumptions!$B$11))</f>
        <v/>
      </c>
      <c r="E4" s="11">
        <f>IF(E$2&lt;=$B4,NA(),((SUMPRODUCT(DCF!$B$6:$F$6,1/(1+E$2)^(DCF!$B$5:$F$5))+((DCF!$F$6*(1+$B4))/(E$2-$B4))*(1/(1+E$2)^DCF!$F$5)-Assumptions!$B$10)/Assumptions!$B$11))</f>
        <v/>
      </c>
      <c r="F4" s="11">
        <f>IF(F$2&lt;=$B4,NA(),((SUMPRODUCT(DCF!$B$6:$F$6,1/(1+F$2)^(DCF!$B$5:$F$5))+((DCF!$F$6*(1+$B4))/(F$2-$B4))*(1/(1+F$2)^DCF!$F$5)-Assumptions!$B$10)/Assumptions!$B$11))</f>
        <v/>
      </c>
      <c r="G4" s="11">
        <f>IF(G$2&lt;=$B4,NA(),((SUMPRODUCT(DCF!$B$6:$F$6,1/(1+G$2)^(DCF!$B$5:$F$5))+((DCF!$F$6*(1+$B4))/(G$2-$B4))*(1/(1+G$2)^DCF!$F$5)-Assumptions!$B$10)/Assumptions!$B$11))</f>
        <v/>
      </c>
    </row>
    <row r="5">
      <c r="A5" s="5" t="n"/>
      <c r="B5" s="16" t="n">
        <v>0.025</v>
      </c>
      <c r="C5" s="11">
        <f>IF(C$2&lt;=$B5,NA(),((SUMPRODUCT(DCF!$B$6:$F$6,1/(1+C$2)^(DCF!$B$5:$F$5))+((DCF!$F$6*(1+$B5))/(C$2-$B5))*(1/(1+C$2)^DCF!$F$5)-Assumptions!$B$10)/Assumptions!$B$11))</f>
        <v/>
      </c>
      <c r="D5" s="11">
        <f>IF(D$2&lt;=$B5,NA(),((SUMPRODUCT(DCF!$B$6:$F$6,1/(1+D$2)^(DCF!$B$5:$F$5))+((DCF!$F$6*(1+$B5))/(D$2-$B5))*(1/(1+D$2)^DCF!$F$5)-Assumptions!$B$10)/Assumptions!$B$11))</f>
        <v/>
      </c>
      <c r="E5" s="11">
        <f>IF(E$2&lt;=$B5,NA(),((SUMPRODUCT(DCF!$B$6:$F$6,1/(1+E$2)^(DCF!$B$5:$F$5))+((DCF!$F$6*(1+$B5))/(E$2-$B5))*(1/(1+E$2)^DCF!$F$5)-Assumptions!$B$10)/Assumptions!$B$11))</f>
        <v/>
      </c>
      <c r="F5" s="11">
        <f>IF(F$2&lt;=$B5,NA(),((SUMPRODUCT(DCF!$B$6:$F$6,1/(1+F$2)^(DCF!$B$5:$F$5))+((DCF!$F$6*(1+$B5))/(F$2-$B5))*(1/(1+F$2)^DCF!$F$5)-Assumptions!$B$10)/Assumptions!$B$11))</f>
        <v/>
      </c>
      <c r="G5" s="11">
        <f>IF(G$2&lt;=$B5,NA(),((SUMPRODUCT(DCF!$B$6:$F$6,1/(1+G$2)^(DCF!$B$5:$F$5))+((DCF!$F$6*(1+$B5))/(G$2-$B5))*(1/(1+G$2)^DCF!$F$5)-Assumptions!$B$10)/Assumptions!$B$11))</f>
        <v/>
      </c>
    </row>
    <row r="6">
      <c r="A6" s="5" t="n"/>
      <c r="B6" s="16" t="n">
        <v>0.03</v>
      </c>
      <c r="C6" s="11">
        <f>IF(C$2&lt;=$B6,NA(),((SUMPRODUCT(DCF!$B$6:$F$6,1/(1+C$2)^(DCF!$B$5:$F$5))+((DCF!$F$6*(1+$B6))/(C$2-$B6))*(1/(1+C$2)^DCF!$F$5)-Assumptions!$B$10)/Assumptions!$B$11))</f>
        <v/>
      </c>
      <c r="D6" s="11">
        <f>IF(D$2&lt;=$B6,NA(),((SUMPRODUCT(DCF!$B$6:$F$6,1/(1+D$2)^(DCF!$B$5:$F$5))+((DCF!$F$6*(1+$B6))/(D$2-$B6))*(1/(1+D$2)^DCF!$F$5)-Assumptions!$B$10)/Assumptions!$B$11))</f>
        <v/>
      </c>
      <c r="E6" s="11">
        <f>IF(E$2&lt;=$B6,NA(),((SUMPRODUCT(DCF!$B$6:$F$6,1/(1+E$2)^(DCF!$B$5:$F$5))+((DCF!$F$6*(1+$B6))/(E$2-$B6))*(1/(1+E$2)^DCF!$F$5)-Assumptions!$B$10)/Assumptions!$B$11))</f>
        <v/>
      </c>
      <c r="F6" s="11">
        <f>IF(F$2&lt;=$B6,NA(),((SUMPRODUCT(DCF!$B$6:$F$6,1/(1+F$2)^(DCF!$B$5:$F$5))+((DCF!$F$6*(1+$B6))/(F$2-$B6))*(1/(1+F$2)^DCF!$F$5)-Assumptions!$B$10)/Assumptions!$B$11))</f>
        <v/>
      </c>
      <c r="G6" s="11">
        <f>IF(G$2&lt;=$B6,NA(),((SUMPRODUCT(DCF!$B$6:$F$6,1/(1+G$2)^(DCF!$B$5:$F$5))+((DCF!$F$6*(1+$B6))/(G$2-$B6))*(1/(1+G$2)^DCF!$F$5)-Assumptions!$B$10)/Assumptions!$B$11))</f>
        <v/>
      </c>
    </row>
    <row r="7">
      <c r="A7" s="5" t="n"/>
      <c r="B7" s="16" t="n">
        <v>0.04</v>
      </c>
      <c r="C7" s="11">
        <f>IF(C$2&lt;=$B7,NA(),((SUMPRODUCT(DCF!$B$6:$F$6,1/(1+C$2)^(DCF!$B$5:$F$5))+((DCF!$F$6*(1+$B7))/(C$2-$B7))*(1/(1+C$2)^DCF!$F$5)-Assumptions!$B$10)/Assumptions!$B$11))</f>
        <v/>
      </c>
      <c r="D7" s="11">
        <f>IF(D$2&lt;=$B7,NA(),((SUMPRODUCT(DCF!$B$6:$F$6,1/(1+D$2)^(DCF!$B$5:$F$5))+((DCF!$F$6*(1+$B7))/(D$2-$B7))*(1/(1+D$2)^DCF!$F$5)-Assumptions!$B$10)/Assumptions!$B$11))</f>
        <v/>
      </c>
      <c r="E7" s="11">
        <f>IF(E$2&lt;=$B7,NA(),((SUMPRODUCT(DCF!$B$6:$F$6,1/(1+E$2)^(DCF!$B$5:$F$5))+((DCF!$F$6*(1+$B7))/(E$2-$B7))*(1/(1+E$2)^DCF!$F$5)-Assumptions!$B$10)/Assumptions!$B$11))</f>
        <v/>
      </c>
      <c r="F7" s="11">
        <f>IF(F$2&lt;=$B7,NA(),((SUMPRODUCT(DCF!$B$6:$F$6,1/(1+F$2)^(DCF!$B$5:$F$5))+((DCF!$F$6*(1+$B7))/(F$2-$B7))*(1/(1+F$2)^DCF!$F$5)-Assumptions!$B$10)/Assumptions!$B$11))</f>
        <v/>
      </c>
      <c r="G7" s="11">
        <f>IF(G$2&lt;=$B7,NA(),((SUMPRODUCT(DCF!$B$6:$F$6,1/(1+G$2)^(DCF!$B$5:$F$5))+((DCF!$F$6*(1+$B7))/(G$2-$B7))*(1/(1+G$2)^DCF!$F$5)-Assumptions!$B$10)/Assumptions!$B$11))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2026-02-24T20:49:59Z</dcterms:created>
  <dcterms:modified xsi:type="dcterms:W3CDTF">2026-02-24T20:49:59Z</dcterms:modified>
</cp:coreProperties>
</file>
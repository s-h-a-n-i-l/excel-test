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AF2F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165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165" fontId="0" fillId="4" borderId="0" pivotButton="0" quotePrefix="0" xfId="0"/>
    <xf numFmtId="0" fontId="3" fillId="5" borderId="0" applyAlignment="1" pivotButton="0" quotePrefix="0" xfId="0">
      <alignment horizontal="left" vertical="center"/>
    </xf>
    <xf numFmtId="165" fontId="0" fillId="5" borderId="0" pivotButton="0" quotePrefix="0" xfId="0"/>
    <xf numFmtId="164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Synthetic Projected Balance Sheet ($mm)</t>
        </is>
      </c>
    </row>
    <row r="2">
      <c r="A2" s="2" t="inlineStr">
        <is>
          <t>Made-up data for testing only; values/formulas are intentionally simple.</t>
        </is>
      </c>
    </row>
    <row r="3">
      <c r="A3" s="2" t="n"/>
    </row>
    <row r="4">
      <c r="A4" s="3" t="inlineStr">
        <is>
          <t>Line Item</t>
        </is>
      </c>
      <c r="B4" s="4" t="inlineStr">
        <is>
          <t>2026E</t>
        </is>
      </c>
      <c r="C4" s="4" t="inlineStr">
        <is>
          <t>2027E</t>
        </is>
      </c>
      <c r="D4" s="4" t="inlineStr">
        <is>
          <t>2028E</t>
        </is>
      </c>
      <c r="E4" s="4" t="inlineStr">
        <is>
          <t>2029E</t>
        </is>
      </c>
      <c r="F4" s="4" t="inlineStr">
        <is>
          <t>2030E</t>
        </is>
      </c>
    </row>
    <row r="5">
      <c r="A5" s="3" t="inlineStr">
        <is>
          <t>Period</t>
        </is>
      </c>
      <c r="B5" s="5" t="n">
        <v>1</v>
      </c>
      <c r="C5" s="5" t="n">
        <v>2</v>
      </c>
      <c r="D5" s="5" t="n">
        <v>3</v>
      </c>
      <c r="E5" s="5" t="n">
        <v>4</v>
      </c>
      <c r="F5" s="5" t="n">
        <v>5</v>
      </c>
    </row>
    <row r="6">
      <c r="A6" s="2" t="n"/>
    </row>
    <row r="7">
      <c r="A7" s="6" t="inlineStr">
        <is>
          <t>Assets</t>
        </is>
      </c>
      <c r="B7" s="7" t="n"/>
      <c r="C7" s="7" t="n"/>
      <c r="D7" s="7" t="n"/>
      <c r="E7" s="7" t="n"/>
      <c r="F7" s="7" t="n"/>
    </row>
    <row r="8">
      <c r="A8" s="2" t="inlineStr">
        <is>
          <t>Cash</t>
        </is>
      </c>
      <c r="B8" s="8">
        <f>B31*0.12</f>
        <v/>
      </c>
      <c r="C8" s="8">
        <f>C31*0.12</f>
        <v/>
      </c>
      <c r="D8" s="8">
        <f>D31*0.12</f>
        <v/>
      </c>
      <c r="E8" s="8">
        <f>E31*0.12</f>
        <v/>
      </c>
      <c r="F8" s="8">
        <f>F31*0.12</f>
        <v/>
      </c>
    </row>
    <row r="9">
      <c r="A9" s="2" t="inlineStr">
        <is>
          <t>Accounts Receivable</t>
        </is>
      </c>
      <c r="B9" s="8">
        <f>B31*0.08</f>
        <v/>
      </c>
      <c r="C9" s="8">
        <f>C31*0.08</f>
        <v/>
      </c>
      <c r="D9" s="8">
        <f>D31*0.08</f>
        <v/>
      </c>
      <c r="E9" s="8">
        <f>E31*0.08</f>
        <v/>
      </c>
      <c r="F9" s="8">
        <f>F31*0.08</f>
        <v/>
      </c>
    </row>
    <row r="10">
      <c r="A10" s="2" t="inlineStr">
        <is>
          <t>Inventory</t>
        </is>
      </c>
      <c r="B10" s="8">
        <f>B31*0.05</f>
        <v/>
      </c>
      <c r="C10" s="8">
        <f>C31*0.05</f>
        <v/>
      </c>
      <c r="D10" s="8">
        <f>D31*0.05</f>
        <v/>
      </c>
      <c r="E10" s="8">
        <f>E31*0.05</f>
        <v/>
      </c>
      <c r="F10" s="8">
        <f>F31*0.05</f>
        <v/>
      </c>
    </row>
    <row r="11">
      <c r="A11" s="2" t="inlineStr">
        <is>
          <t>Other Current Assets</t>
        </is>
      </c>
      <c r="B11" s="8">
        <f>B31*0.03</f>
        <v/>
      </c>
      <c r="C11" s="8">
        <f>C31*0.03</f>
        <v/>
      </c>
      <c r="D11" s="8">
        <f>D31*0.03</f>
        <v/>
      </c>
      <c r="E11" s="8">
        <f>E31*0.03</f>
        <v/>
      </c>
      <c r="F11" s="8">
        <f>F31*0.03</f>
        <v/>
      </c>
    </row>
    <row r="12">
      <c r="A12" s="9" t="inlineStr">
        <is>
          <t>Total Current Assets</t>
        </is>
      </c>
      <c r="B12" s="10">
        <f>SUM(B8:B11)</f>
        <v/>
      </c>
      <c r="C12" s="10">
        <f>SUM(C8:C11)</f>
        <v/>
      </c>
      <c r="D12" s="10">
        <f>SUM(D8:D11)</f>
        <v/>
      </c>
      <c r="E12" s="10">
        <f>SUM(E8:E11)</f>
        <v/>
      </c>
      <c r="F12" s="10">
        <f>SUM(F8:F11)</f>
        <v/>
      </c>
    </row>
    <row r="13">
      <c r="A13" s="2" t="inlineStr">
        <is>
          <t>PP&amp;E, net</t>
        </is>
      </c>
      <c r="B13" s="8">
        <f>B31*0.27</f>
        <v/>
      </c>
      <c r="C13" s="8">
        <f>C31*0.27</f>
        <v/>
      </c>
      <c r="D13" s="8">
        <f>D31*0.27</f>
        <v/>
      </c>
      <c r="E13" s="8">
        <f>E31*0.27</f>
        <v/>
      </c>
      <c r="F13" s="8">
        <f>F31*0.27</f>
        <v/>
      </c>
    </row>
    <row r="14">
      <c r="A14" s="2" t="inlineStr">
        <is>
          <t>Intangibles</t>
        </is>
      </c>
      <c r="B14" s="8">
        <f>150</f>
        <v/>
      </c>
      <c r="C14" s="8">
        <f>150</f>
        <v/>
      </c>
      <c r="D14" s="8">
        <f>150</f>
        <v/>
      </c>
      <c r="E14" s="8">
        <f>150</f>
        <v/>
      </c>
      <c r="F14" s="8">
        <f>150</f>
        <v/>
      </c>
    </row>
    <row r="15">
      <c r="A15" s="2" t="inlineStr">
        <is>
          <t>Other Assets</t>
        </is>
      </c>
      <c r="B15" s="8">
        <f>50</f>
        <v/>
      </c>
      <c r="C15" s="8">
        <f>50</f>
        <v/>
      </c>
      <c r="D15" s="8">
        <f>50</f>
        <v/>
      </c>
      <c r="E15" s="8">
        <f>50</f>
        <v/>
      </c>
      <c r="F15" s="8">
        <f>50</f>
        <v/>
      </c>
    </row>
    <row r="16">
      <c r="A16" s="9" t="inlineStr">
        <is>
          <t>Total Assets</t>
        </is>
      </c>
      <c r="B16" s="10">
        <f>SUM(B12:B15)</f>
        <v/>
      </c>
      <c r="C16" s="10">
        <f>SUM(C12:C15)</f>
        <v/>
      </c>
      <c r="D16" s="10">
        <f>SUM(D12:D15)</f>
        <v/>
      </c>
      <c r="E16" s="10">
        <f>SUM(E12:E15)</f>
        <v/>
      </c>
      <c r="F16" s="10">
        <f>SUM(F12:F15)</f>
        <v/>
      </c>
    </row>
    <row r="17">
      <c r="A17" s="2" t="n"/>
    </row>
    <row r="18">
      <c r="A18" s="6" t="inlineStr">
        <is>
          <t>Liabilities &amp; Equity</t>
        </is>
      </c>
      <c r="B18" s="7" t="n"/>
      <c r="C18" s="7" t="n"/>
      <c r="D18" s="7" t="n"/>
      <c r="E18" s="7" t="n"/>
      <c r="F18" s="7" t="n"/>
    </row>
    <row r="19">
      <c r="A19" s="2" t="inlineStr">
        <is>
          <t>Accounts Payable</t>
        </is>
      </c>
      <c r="B19" s="8">
        <f>B31*0.06</f>
        <v/>
      </c>
      <c r="C19" s="8">
        <f>C31*0.06</f>
        <v/>
      </c>
      <c r="D19" s="8">
        <f>D31*0.06</f>
        <v/>
      </c>
      <c r="E19" s="8">
        <f>E31*0.06</f>
        <v/>
      </c>
      <c r="F19" s="8">
        <f>F31*0.06</f>
        <v/>
      </c>
    </row>
    <row r="20">
      <c r="A20" s="2" t="inlineStr">
        <is>
          <t>Accrued Liabilities</t>
        </is>
      </c>
      <c r="B20" s="8">
        <f>B31*0.04</f>
        <v/>
      </c>
      <c r="C20" s="8">
        <f>C31*0.04</f>
        <v/>
      </c>
      <c r="D20" s="8">
        <f>D31*0.04</f>
        <v/>
      </c>
      <c r="E20" s="8">
        <f>E31*0.04</f>
        <v/>
      </c>
      <c r="F20" s="8">
        <f>F31*0.04</f>
        <v/>
      </c>
    </row>
    <row r="21">
      <c r="A21" s="2" t="inlineStr">
        <is>
          <t>Short-Term Debt</t>
        </is>
      </c>
      <c r="B21" s="8">
        <f>25</f>
        <v/>
      </c>
      <c r="C21" s="8">
        <f>25</f>
        <v/>
      </c>
      <c r="D21" s="8">
        <f>25</f>
        <v/>
      </c>
      <c r="E21" s="8">
        <f>25</f>
        <v/>
      </c>
      <c r="F21" s="8">
        <f>25</f>
        <v/>
      </c>
    </row>
    <row r="22">
      <c r="A22" s="9" t="inlineStr">
        <is>
          <t>Total Current Liabilities</t>
        </is>
      </c>
      <c r="B22" s="10">
        <f>SUM(B19:B21)</f>
        <v/>
      </c>
      <c r="C22" s="10">
        <f>SUM(C19:C21)</f>
        <v/>
      </c>
      <c r="D22" s="10">
        <f>SUM(D19:D21)</f>
        <v/>
      </c>
      <c r="E22" s="10">
        <f>SUM(E19:E21)</f>
        <v/>
      </c>
      <c r="F22" s="10">
        <f>SUM(F19:F21)</f>
        <v/>
      </c>
    </row>
    <row r="23">
      <c r="A23" s="2" t="inlineStr">
        <is>
          <t>Long-Term Debt</t>
        </is>
      </c>
      <c r="B23" s="8">
        <f>350</f>
        <v/>
      </c>
      <c r="C23" s="8">
        <f>350</f>
        <v/>
      </c>
      <c r="D23" s="8">
        <f>350</f>
        <v/>
      </c>
      <c r="E23" s="8">
        <f>350</f>
        <v/>
      </c>
      <c r="F23" s="8">
        <f>350</f>
        <v/>
      </c>
    </row>
    <row r="24">
      <c r="A24" s="2" t="inlineStr">
        <is>
          <t>Other Liabilities</t>
        </is>
      </c>
      <c r="B24" s="8">
        <f>B31*0.02</f>
        <v/>
      </c>
      <c r="C24" s="8">
        <f>C31*0.02</f>
        <v/>
      </c>
      <c r="D24" s="8">
        <f>D31*0.02</f>
        <v/>
      </c>
      <c r="E24" s="8">
        <f>E31*0.02</f>
        <v/>
      </c>
      <c r="F24" s="8">
        <f>F31*0.02</f>
        <v/>
      </c>
    </row>
    <row r="25">
      <c r="A25" s="9" t="inlineStr">
        <is>
          <t>Total Liabilities</t>
        </is>
      </c>
      <c r="B25" s="10">
        <f>SUM(B22:B24)</f>
        <v/>
      </c>
      <c r="C25" s="10">
        <f>SUM(C22:C24)</f>
        <v/>
      </c>
      <c r="D25" s="10">
        <f>SUM(D22:D24)</f>
        <v/>
      </c>
      <c r="E25" s="10">
        <f>SUM(E22:E24)</f>
        <v/>
      </c>
      <c r="F25" s="10">
        <f>SUM(F22:F24)</f>
        <v/>
      </c>
    </row>
    <row r="26">
      <c r="A26" s="2" t="inlineStr">
        <is>
          <t>Common Equity</t>
        </is>
      </c>
      <c r="B26" s="8">
        <f>200</f>
        <v/>
      </c>
      <c r="C26" s="8">
        <f>200</f>
        <v/>
      </c>
      <c r="D26" s="8">
        <f>200</f>
        <v/>
      </c>
      <c r="E26" s="8">
        <f>200</f>
        <v/>
      </c>
      <c r="F26" s="8">
        <f>200</f>
        <v/>
      </c>
    </row>
    <row r="27">
      <c r="A27" s="2" t="inlineStr">
        <is>
          <t>Retained Earnings (Plug)</t>
        </is>
      </c>
      <c r="B27" s="8">
        <f>B16-B25-B26</f>
        <v/>
      </c>
      <c r="C27" s="8">
        <f>C16-C25-C26</f>
        <v/>
      </c>
      <c r="D27" s="8">
        <f>D16-D25-D26</f>
        <v/>
      </c>
      <c r="E27" s="8">
        <f>E16-E25-E26</f>
        <v/>
      </c>
      <c r="F27" s="8">
        <f>F16-F25-F26</f>
        <v/>
      </c>
    </row>
    <row r="28">
      <c r="A28" s="9" t="inlineStr">
        <is>
          <t>Total Equity</t>
        </is>
      </c>
      <c r="B28" s="10">
        <f>SUM(B26:B27)</f>
        <v/>
      </c>
      <c r="C28" s="10">
        <f>SUM(C26:C27)</f>
        <v/>
      </c>
      <c r="D28" s="10">
        <f>SUM(D26:D27)</f>
        <v/>
      </c>
      <c r="E28" s="10">
        <f>SUM(E26:E27)</f>
        <v/>
      </c>
      <c r="F28" s="10">
        <f>SUM(F26:F27)</f>
        <v/>
      </c>
    </row>
    <row r="29">
      <c r="A29" s="9" t="inlineStr">
        <is>
          <t>Total Liabilities &amp; Equity</t>
        </is>
      </c>
      <c r="B29" s="10">
        <f>SUM(B25:B28)</f>
        <v/>
      </c>
      <c r="C29" s="10">
        <f>SUM(C25:C28)</f>
        <v/>
      </c>
      <c r="D29" s="10">
        <f>SUM(D25:D28)</f>
        <v/>
      </c>
      <c r="E29" s="10">
        <f>SUM(E25:E28)</f>
        <v/>
      </c>
      <c r="F29" s="10">
        <f>SUM(F25:F28)</f>
        <v/>
      </c>
    </row>
    <row r="30">
      <c r="A30" s="11" t="inlineStr">
        <is>
          <t>Balance Check</t>
        </is>
      </c>
      <c r="B30" s="12">
        <f>B16-B29</f>
        <v/>
      </c>
      <c r="C30" s="12">
        <f>C16-C29</f>
        <v/>
      </c>
      <c r="D30" s="12">
        <f>D16-D29</f>
        <v/>
      </c>
      <c r="E30" s="12">
        <f>E16-E29</f>
        <v/>
      </c>
      <c r="F30" s="12">
        <f>F16-F29</f>
        <v/>
      </c>
    </row>
    <row r="31" hidden="1">
      <c r="A31" s="2" t="inlineStr">
        <is>
          <t>Revenue Driver ($mm)</t>
        </is>
      </c>
      <c r="B31">
        <f>1000*(1+B32)</f>
        <v/>
      </c>
      <c r="C31">
        <f>B31*(1+C32)</f>
        <v/>
      </c>
      <c r="D31">
        <f>C31*(1+D32)</f>
        <v/>
      </c>
      <c r="E31">
        <f>D31*(1+E32)</f>
        <v/>
      </c>
      <c r="F31">
        <f>E31*(1+F32)</f>
        <v/>
      </c>
    </row>
    <row r="32" hidden="1">
      <c r="A32" s="2" t="inlineStr">
        <is>
          <t>Growth Driver</t>
        </is>
      </c>
      <c r="B32" s="13" t="n">
        <v>0.12</v>
      </c>
      <c r="C32" s="13" t="n">
        <v>0.1</v>
      </c>
      <c r="D32" s="13" t="n">
        <v>0.08</v>
      </c>
      <c r="E32" s="13" t="n">
        <v>0.06</v>
      </c>
      <c r="F32" s="13" t="n">
        <v>0.04</v>
      </c>
    </row>
    <row r="33">
      <c r="A33" s="11" t="inlineStr">
        <is>
          <t>Balanced?</t>
        </is>
      </c>
      <c r="B33" s="14">
        <f>IF(ABS(B30)&lt;0.01,"OK","CHECK")</f>
        <v/>
      </c>
      <c r="C33" s="14">
        <f>IF(ABS(C30)&lt;0.01,"OK","CHECK")</f>
        <v/>
      </c>
      <c r="D33" s="14">
        <f>IF(ABS(D30)&lt;0.01,"OK","CHECK")</f>
        <v/>
      </c>
      <c r="E33" s="14">
        <f>IF(ABS(E30)&lt;0.01,"OK","CHECK")</f>
        <v/>
      </c>
      <c r="F33" s="14">
        <f>IF(ABS(F30)&lt;0.01,"OK","CHECK")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2026-02-24T20:58:25Z</dcterms:created>
  <dcterms:modified xsi:type="dcterms:W3CDTF">2026-02-24T20:58:25Z</dcterms:modified>
</cp:coreProperties>
</file>